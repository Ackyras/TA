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ERA\Kuliah Online\TA\Ackyras\assets\"/>
    </mc:Choice>
  </mc:AlternateContent>
  <xr:revisionPtr revIDLastSave="0" documentId="13_ncr:1_{C00A4748-6FDD-4FDC-BEC9-B29C962C10D6}" xr6:coauthVersionLast="47" xr6:coauthVersionMax="47" xr10:uidLastSave="{00000000-0000-0000-0000-000000000000}"/>
  <bookViews>
    <workbookView xWindow="-28920" yWindow="-120" windowWidth="29040" windowHeight="15720" activeTab="1" xr2:uid="{A83D8D87-872F-470B-801F-F8D33115C148}"/>
  </bookViews>
  <sheets>
    <sheet name="Format" sheetId="1" r:id="rId1"/>
    <sheet name="Sheet2" sheetId="2" r:id="rId2"/>
  </sheets>
  <definedNames>
    <definedName name="_xlnm._FilterDatabase" localSheetId="1" hidden="1">Sheet2!$B$3:$B$10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2" l="1"/>
  <c r="P6" i="2"/>
  <c r="Q6" i="2"/>
  <c r="R6" i="2"/>
  <c r="S6" i="2"/>
  <c r="O6" i="2"/>
  <c r="P4" i="2"/>
  <c r="Q4" i="2"/>
  <c r="R4" i="2"/>
  <c r="S4" i="2"/>
  <c r="P5" i="2"/>
  <c r="Q5" i="2"/>
  <c r="R5" i="2"/>
  <c r="S5" i="2"/>
  <c r="O5" i="2"/>
  <c r="O4" i="2"/>
  <c r="R3" i="2"/>
  <c r="P3" i="2"/>
  <c r="Q3" i="2"/>
  <c r="S3" i="2"/>
  <c r="O3" i="2"/>
  <c r="D30" i="2"/>
  <c r="E30" i="2"/>
  <c r="F30" i="2"/>
  <c r="G30" i="2"/>
  <c r="H30" i="2"/>
  <c r="I30" i="2"/>
  <c r="J30" i="2"/>
  <c r="K30" i="2"/>
  <c r="L30" i="2"/>
  <c r="D29" i="2"/>
  <c r="E29" i="2"/>
  <c r="F29" i="2"/>
  <c r="G29" i="2"/>
  <c r="H29" i="2"/>
  <c r="I29" i="2"/>
  <c r="J29" i="2"/>
  <c r="K29" i="2"/>
  <c r="L29" i="2"/>
  <c r="D28" i="2"/>
  <c r="E28" i="2"/>
  <c r="F28" i="2"/>
  <c r="G28" i="2"/>
  <c r="H28" i="2"/>
  <c r="I28" i="2"/>
  <c r="J28" i="2"/>
  <c r="K28" i="2"/>
  <c r="L28" i="2"/>
  <c r="C28" i="2"/>
  <c r="C30" i="2"/>
  <c r="C29" i="2"/>
  <c r="P44" i="2"/>
  <c r="O44" i="2"/>
  <c r="O43" i="2"/>
  <c r="P42" i="2"/>
  <c r="O42" i="2"/>
  <c r="C15" i="2"/>
  <c r="C16" i="2"/>
  <c r="D15" i="2"/>
  <c r="E15" i="2"/>
  <c r="F15" i="2"/>
  <c r="G15" i="2"/>
  <c r="H15" i="2"/>
  <c r="I15" i="2"/>
  <c r="J15" i="2"/>
  <c r="K15" i="2"/>
  <c r="L15" i="2"/>
  <c r="L22" i="2"/>
  <c r="L21" i="2"/>
  <c r="L20" i="2"/>
  <c r="L19" i="2"/>
  <c r="L18" i="2"/>
  <c r="L17" i="2"/>
  <c r="L16" i="2"/>
  <c r="J22" i="2"/>
  <c r="J21" i="2"/>
  <c r="J20" i="2"/>
  <c r="J19" i="2"/>
  <c r="J18" i="2"/>
  <c r="J17" i="2"/>
  <c r="J16" i="2"/>
  <c r="H22" i="2"/>
  <c r="H21" i="2"/>
  <c r="H20" i="2"/>
  <c r="H19" i="2"/>
  <c r="H18" i="2"/>
  <c r="H17" i="2"/>
  <c r="H16" i="2"/>
  <c r="F22" i="2"/>
  <c r="F21" i="2"/>
  <c r="F20" i="2"/>
  <c r="F19" i="2"/>
  <c r="F18" i="2"/>
  <c r="F17" i="2"/>
  <c r="F16" i="2"/>
  <c r="F38" i="2" s="1"/>
  <c r="D16" i="2"/>
  <c r="D17" i="2"/>
  <c r="D35" i="2" s="1"/>
  <c r="D18" i="2"/>
  <c r="D19" i="2"/>
  <c r="D20" i="2"/>
  <c r="D21" i="2"/>
  <c r="D22" i="2"/>
  <c r="K22" i="2"/>
  <c r="K21" i="2"/>
  <c r="K20" i="2"/>
  <c r="K19" i="2"/>
  <c r="K18" i="2"/>
  <c r="K17" i="2"/>
  <c r="K16" i="2"/>
  <c r="I22" i="2"/>
  <c r="I21" i="2"/>
  <c r="I20" i="2"/>
  <c r="I19" i="2"/>
  <c r="I18" i="2"/>
  <c r="I17" i="2"/>
  <c r="I16" i="2"/>
  <c r="G22" i="2"/>
  <c r="G21" i="2"/>
  <c r="G20" i="2"/>
  <c r="G19" i="2"/>
  <c r="G18" i="2"/>
  <c r="G17" i="2"/>
  <c r="G16" i="2"/>
  <c r="E22" i="2"/>
  <c r="E21" i="2"/>
  <c r="E20" i="2"/>
  <c r="E19" i="2"/>
  <c r="E18" i="2"/>
  <c r="E17" i="2"/>
  <c r="E16" i="2"/>
  <c r="C17" i="2"/>
  <c r="C18" i="2"/>
  <c r="C19" i="2"/>
  <c r="C20" i="2"/>
  <c r="C21" i="2"/>
  <c r="C22" i="2"/>
  <c r="H36" i="2" l="1"/>
  <c r="K38" i="2"/>
  <c r="G36" i="2"/>
  <c r="I37" i="2"/>
  <c r="F34" i="2"/>
  <c r="E34" i="2"/>
  <c r="D34" i="2"/>
  <c r="C38" i="2"/>
  <c r="H37" i="2"/>
  <c r="C37" i="2"/>
  <c r="H35" i="2"/>
  <c r="F37" i="2"/>
  <c r="E37" i="2"/>
  <c r="I38" i="2"/>
  <c r="J35" i="2"/>
  <c r="L34" i="2"/>
  <c r="I35" i="2"/>
  <c r="G35" i="2"/>
  <c r="C36" i="2"/>
  <c r="C35" i="2"/>
  <c r="D37" i="2"/>
  <c r="K35" i="2"/>
  <c r="F35" i="2"/>
  <c r="G37" i="2"/>
  <c r="E35" i="2"/>
  <c r="H34" i="2"/>
  <c r="J38" i="2"/>
  <c r="K36" i="2"/>
  <c r="H38" i="2"/>
  <c r="K34" i="2"/>
  <c r="E38" i="2"/>
  <c r="D38" i="2"/>
  <c r="F36" i="2"/>
  <c r="L37" i="2"/>
  <c r="E36" i="2"/>
  <c r="G34" i="2"/>
  <c r="K37" i="2"/>
  <c r="D36" i="2"/>
  <c r="L36" i="2"/>
  <c r="J36" i="2"/>
  <c r="I36" i="2"/>
  <c r="I34" i="2"/>
  <c r="C34" i="2"/>
  <c r="J37" i="2"/>
  <c r="L35" i="2"/>
  <c r="L38" i="2"/>
  <c r="G38" i="2"/>
  <c r="J34" i="2"/>
  <c r="Q43" i="2"/>
  <c r="O45" i="2"/>
  <c r="M20" i="2"/>
  <c r="M18" i="2"/>
  <c r="M22" i="2"/>
  <c r="M21" i="2"/>
  <c r="M19" i="2"/>
  <c r="M17" i="2"/>
  <c r="M16" i="2"/>
  <c r="M38" i="2" l="1"/>
  <c r="M37" i="2"/>
  <c r="M36" i="2"/>
  <c r="M35" i="2"/>
  <c r="M29" i="2"/>
  <c r="Q44" i="2"/>
  <c r="M30" i="2"/>
  <c r="Q42" i="2"/>
  <c r="M28" i="2"/>
  <c r="M23" i="2"/>
  <c r="M34" i="2" l="1"/>
  <c r="M31" i="2"/>
  <c r="Q45" i="2"/>
  <c r="M39" i="2" l="1"/>
</calcChain>
</file>

<file path=xl/sharedStrings.xml><?xml version="1.0" encoding="utf-8"?>
<sst xmlns="http://schemas.openxmlformats.org/spreadsheetml/2006/main" count="163" uniqueCount="51">
  <si>
    <t>Paraf:</t>
  </si>
  <si>
    <t>No.</t>
  </si>
  <si>
    <t>SUS</t>
  </si>
  <si>
    <t>Hasil</t>
  </si>
  <si>
    <t>STS</t>
  </si>
  <si>
    <t>TS</t>
  </si>
  <si>
    <t>RG</t>
  </si>
  <si>
    <t>ST</t>
  </si>
  <si>
    <t>SS</t>
  </si>
  <si>
    <t>Saya berpikir akan menggunakan sistem ini lagi</t>
  </si>
  <si>
    <t>Saya merasa sistem ini rumit untuk digunakan</t>
  </si>
  <si>
    <t>Saya merasa sistem ini mudah digunakan</t>
  </si>
  <si>
    <t>Saya membutuhkan bantuan dari orang lain atau teknisi dalam menggunakan sistem ini</t>
  </si>
  <si>
    <t>Saya merasa fitur-fitur sistem ini berjalan dengan semestinya</t>
  </si>
  <si>
    <t>Saya merasa ada banyak hal yang tidak konsisten (tidak serasi pada sistem ini)</t>
  </si>
  <si>
    <t>Saya merasa orang lain akan memahami cara menggunakan sistem ini dengan cepat</t>
  </si>
  <si>
    <t>Saya merasa sistem ini membingungkan</t>
  </si>
  <si>
    <t>Saya merasa tidak ada hambatan dalam menggunakan sistem ini</t>
  </si>
  <si>
    <t>Saya perlu membiasakan diri terlebih dahulu sebelum menggunakan sistem ini</t>
  </si>
  <si>
    <t>O</t>
  </si>
  <si>
    <t>Catatan :</t>
  </si>
  <si>
    <t>Fitur</t>
  </si>
  <si>
    <t>Keterangan</t>
  </si>
  <si>
    <t>Role Penguji           :</t>
  </si>
  <si>
    <t>Nama Penguji         :</t>
  </si>
  <si>
    <t>Tanggal Pengujian  :</t>
  </si>
  <si>
    <t>Responden</t>
  </si>
  <si>
    <t>Kadis</t>
  </si>
  <si>
    <t>Kabid</t>
  </si>
  <si>
    <t>Koor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</si>
  <si>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</si>
  <si>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</si>
  <si>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</si>
  <si>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</si>
  <si>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</si>
  <si>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</si>
  <si>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</si>
  <si>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</si>
  <si>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</si>
  <si>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</si>
  <si>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Skor</t>
  </si>
  <si>
    <t>Hasil Perhitungan</t>
  </si>
  <si>
    <t>Skor SUS</t>
  </si>
  <si>
    <t>Negatif</t>
  </si>
  <si>
    <t>Positif</t>
  </si>
  <si>
    <t>Netral</t>
  </si>
  <si>
    <t>Total</t>
  </si>
  <si>
    <t>Kategori</t>
  </si>
  <si>
    <t>TOTAL</t>
  </si>
  <si>
    <t>Nilai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</si>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</sst>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7">
    <xf numFmtId="0" fontId="0" fillId="0" borderId="0" xfId="0"/>
    <xf numFmtId="0" fontId="0" fillId="0" borderId="5" xfId="0" applyBorder="1"/>
    <xf numFmtId="0" fontId="1" fillId="2" borderId="5" xfId="1" applyBorder="1" applyAlignment="1">
      <alignment horizontal="center" vertical="center"/>
    </xf>
    <xf numFmtId="0" fontId="2" fillId="0" borderId="0" xfId="0" applyFont="1"/>
    <xf numFmtId="0" fontId="2" fillId="2" borderId="5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4" xfId="0" applyFont="1" applyBorder="1"/>
    <xf numFmtId="0" fontId="1" fillId="2" borderId="5" xfId="1" applyBorder="1"/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2" borderId="5" xfId="1" applyFont="1" applyBorder="1" applyAlignment="1">
      <alignment horizontal="center" vertical="center"/>
    </xf>
    <xf numFmtId="0" fontId="2" fillId="2" borderId="8" xfId="1" applyFont="1" applyBorder="1" applyAlignment="1">
      <alignment horizontal="center" vertical="center"/>
    </xf>
    <xf numFmtId="0" fontId="2" fillId="2" borderId="9" xfId="1" applyFont="1" applyBorder="1" applyAlignment="1">
      <alignment horizontal="center" vertical="center"/>
    </xf>
    <xf numFmtId="0" fontId="2" fillId="2" borderId="10" xfId="1" applyFont="1" applyBorder="1" applyAlignment="1">
      <alignment horizontal="center" vertical="center"/>
    </xf>
    <xf numFmtId="0" fontId="2" fillId="2" borderId="11" xfId="1" applyFont="1" applyBorder="1" applyAlignment="1">
      <alignment horizontal="center" vertical="center"/>
    </xf>
    <xf numFmtId="0" fontId="0" fillId="2" borderId="12" xfId="1" applyFont="1" applyBorder="1" applyAlignment="1">
      <alignment horizontal="center"/>
    </xf>
    <xf numFmtId="0" fontId="1" fillId="2" borderId="15" xfId="1" applyBorder="1" applyAlignment="1">
      <alignment horizontal="center"/>
    </xf>
    <xf numFmtId="0" fontId="1" fillId="2" borderId="13" xfId="1" applyBorder="1" applyAlignment="1">
      <alignment horizontal="center"/>
    </xf>
    <xf numFmtId="0" fontId="1" fillId="2" borderId="5" xfId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2" borderId="5" xfId="1" applyFont="1" applyBorder="1" applyAlignment="1">
      <alignment horizontal="center" vertical="center"/>
    </xf>
    <xf numFmtId="0" fontId="1" fillId="2" borderId="5" xfId="1" applyBorder="1" applyAlignment="1">
      <alignment horizontal="center"/>
    </xf>
    <xf numFmtId="0" fontId="0" fillId="2" borderId="8" xfId="1" applyFont="1" applyBorder="1" applyAlignment="1">
      <alignment horizontal="center" vertical="center"/>
    </xf>
    <xf numFmtId="0" fontId="0" fillId="2" borderId="9" xfId="1" applyFont="1" applyBorder="1" applyAlignment="1">
      <alignment horizontal="center" vertical="center"/>
    </xf>
    <xf numFmtId="0" fontId="0" fillId="2" borderId="10" xfId="1" applyFont="1" applyBorder="1" applyAlignment="1">
      <alignment horizontal="center" vertical="center"/>
    </xf>
    <xf numFmtId="0" fontId="0" fillId="2" borderId="11" xfId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48C7-304A-494D-895A-6FC6A6CDA0D8}">
  <dimension ref="A1:H31"/>
  <sheetViews>
    <sheetView view="pageLayout" topLeftCell="A4" zoomScaleNormal="100" workbookViewId="0">
      <selection activeCell="G8" sqref="G8"/>
    </sheetView>
  </sheetViews>
  <sheetFormatPr defaultColWidth="8.88671875" defaultRowHeight="15.6" x14ac:dyDescent="0.3"/>
  <cols>
    <col min="1" max="1" width="5.5546875" style="3" customWidth="1"/>
    <col min="2" max="2" width="16.88671875" style="3" customWidth="1"/>
    <col min="3" max="3" width="25.33203125" style="3" customWidth="1"/>
    <col min="4" max="8" width="6.21875" style="3" customWidth="1"/>
    <col min="9" max="16384" width="8.88671875" style="3"/>
  </cols>
  <sheetData>
    <row r="1" spans="1:8" x14ac:dyDescent="0.3">
      <c r="A1" s="3" t="s">
        <v>24</v>
      </c>
    </row>
    <row r="2" spans="1:8" x14ac:dyDescent="0.3">
      <c r="A2" s="3" t="s">
        <v>23</v>
      </c>
    </row>
    <row r="3" spans="1:8" x14ac:dyDescent="0.3">
      <c r="A3" s="3" t="s">
        <v>25</v>
      </c>
    </row>
    <row r="5" spans="1:8" x14ac:dyDescent="0.3">
      <c r="A5" s="19" t="s">
        <v>1</v>
      </c>
      <c r="B5" s="20" t="s">
        <v>2</v>
      </c>
      <c r="C5" s="21"/>
      <c r="D5" s="19" t="s">
        <v>3</v>
      </c>
      <c r="E5" s="19"/>
      <c r="F5" s="19"/>
      <c r="G5" s="19"/>
      <c r="H5" s="19"/>
    </row>
    <row r="6" spans="1:8" x14ac:dyDescent="0.3">
      <c r="A6" s="19"/>
      <c r="B6" s="22"/>
      <c r="C6" s="23"/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1:8" ht="28.2" customHeight="1" x14ac:dyDescent="0.3">
      <c r="A7" s="5">
        <v>1</v>
      </c>
      <c r="B7" s="17" t="s">
        <v>9</v>
      </c>
      <c r="C7" s="18"/>
      <c r="D7" s="5" t="s">
        <v>19</v>
      </c>
      <c r="E7" s="5" t="s">
        <v>19</v>
      </c>
      <c r="F7" s="5" t="s">
        <v>19</v>
      </c>
      <c r="G7" s="5" t="s">
        <v>19</v>
      </c>
      <c r="H7" s="5" t="s">
        <v>19</v>
      </c>
    </row>
    <row r="8" spans="1:8" ht="28.2" customHeight="1" x14ac:dyDescent="0.3">
      <c r="A8" s="5">
        <v>2</v>
      </c>
      <c r="B8" s="17" t="s">
        <v>10</v>
      </c>
      <c r="C8" s="18"/>
      <c r="D8" s="5" t="s">
        <v>19</v>
      </c>
      <c r="E8" s="5" t="s">
        <v>19</v>
      </c>
      <c r="F8" s="5" t="s">
        <v>19</v>
      </c>
      <c r="G8" s="5" t="s">
        <v>19</v>
      </c>
      <c r="H8" s="5" t="s">
        <v>19</v>
      </c>
    </row>
    <row r="9" spans="1:8" ht="28.2" customHeight="1" x14ac:dyDescent="0.3">
      <c r="A9" s="5">
        <v>3</v>
      </c>
      <c r="B9" s="17" t="s">
        <v>11</v>
      </c>
      <c r="C9" s="18"/>
      <c r="D9" s="5" t="s">
        <v>19</v>
      </c>
      <c r="E9" s="5" t="s">
        <v>19</v>
      </c>
      <c r="F9" s="5" t="s">
        <v>19</v>
      </c>
      <c r="G9" s="5" t="s">
        <v>19</v>
      </c>
      <c r="H9" s="5" t="s">
        <v>19</v>
      </c>
    </row>
    <row r="10" spans="1:8" ht="28.2" customHeight="1" x14ac:dyDescent="0.3">
      <c r="A10" s="5">
        <v>4</v>
      </c>
      <c r="B10" s="17" t="s">
        <v>12</v>
      </c>
      <c r="C10" s="18"/>
      <c r="D10" s="5" t="s">
        <v>19</v>
      </c>
      <c r="E10" s="5" t="s">
        <v>19</v>
      </c>
      <c r="F10" s="5" t="s">
        <v>19</v>
      </c>
      <c r="G10" s="5" t="s">
        <v>19</v>
      </c>
      <c r="H10" s="5" t="s">
        <v>19</v>
      </c>
    </row>
    <row r="11" spans="1:8" ht="28.2" customHeight="1" x14ac:dyDescent="0.3">
      <c r="A11" s="5">
        <v>5</v>
      </c>
      <c r="B11" s="17" t="s">
        <v>13</v>
      </c>
      <c r="C11" s="18"/>
      <c r="D11" s="5" t="s">
        <v>19</v>
      </c>
      <c r="E11" s="5" t="s">
        <v>19</v>
      </c>
      <c r="F11" s="5" t="s">
        <v>19</v>
      </c>
      <c r="G11" s="5" t="s">
        <v>19</v>
      </c>
      <c r="H11" s="5" t="s">
        <v>19</v>
      </c>
    </row>
    <row r="12" spans="1:8" ht="28.2" customHeight="1" x14ac:dyDescent="0.3">
      <c r="A12" s="5">
        <v>6</v>
      </c>
      <c r="B12" s="17" t="s">
        <v>14</v>
      </c>
      <c r="C12" s="18"/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</row>
    <row r="13" spans="1:8" ht="28.2" customHeight="1" x14ac:dyDescent="0.3">
      <c r="A13" s="5">
        <v>7</v>
      </c>
      <c r="B13" s="17" t="s">
        <v>15</v>
      </c>
      <c r="C13" s="18"/>
      <c r="D13" s="5" t="s">
        <v>19</v>
      </c>
      <c r="E13" s="5" t="s">
        <v>19</v>
      </c>
      <c r="F13" s="5" t="s">
        <v>19</v>
      </c>
      <c r="G13" s="5" t="s">
        <v>19</v>
      </c>
      <c r="H13" s="5" t="s">
        <v>19</v>
      </c>
    </row>
    <row r="14" spans="1:8" ht="28.2" customHeight="1" x14ac:dyDescent="0.3">
      <c r="A14" s="5">
        <v>8</v>
      </c>
      <c r="B14" s="17" t="s">
        <v>16</v>
      </c>
      <c r="C14" s="18"/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</row>
    <row r="15" spans="1:8" ht="28.2" customHeight="1" x14ac:dyDescent="0.3">
      <c r="A15" s="5">
        <v>9</v>
      </c>
      <c r="B15" s="17" t="s">
        <v>17</v>
      </c>
      <c r="C15" s="18"/>
      <c r="D15" s="5" t="s">
        <v>19</v>
      </c>
      <c r="E15" s="5" t="s">
        <v>19</v>
      </c>
      <c r="F15" s="5" t="s">
        <v>19</v>
      </c>
      <c r="G15" s="5" t="s">
        <v>19</v>
      </c>
      <c r="H15" s="5" t="s">
        <v>19</v>
      </c>
    </row>
    <row r="16" spans="1:8" ht="28.2" customHeight="1" x14ac:dyDescent="0.3">
      <c r="A16" s="5">
        <v>10</v>
      </c>
      <c r="B16" s="17" t="s">
        <v>18</v>
      </c>
      <c r="C16" s="18"/>
      <c r="D16" s="5" t="s">
        <v>19</v>
      </c>
      <c r="E16" s="5" t="s">
        <v>19</v>
      </c>
      <c r="F16" s="5" t="s">
        <v>19</v>
      </c>
      <c r="G16" s="5" t="s">
        <v>19</v>
      </c>
      <c r="H16" s="5" t="s">
        <v>19</v>
      </c>
    </row>
    <row r="18" spans="1:8" x14ac:dyDescent="0.3">
      <c r="A18" s="3" t="s">
        <v>20</v>
      </c>
    </row>
    <row r="19" spans="1:8" x14ac:dyDescent="0.3">
      <c r="A19" s="4" t="s">
        <v>1</v>
      </c>
      <c r="B19" s="4" t="s">
        <v>21</v>
      </c>
      <c r="C19" s="19" t="s">
        <v>22</v>
      </c>
      <c r="D19" s="19"/>
      <c r="E19" s="19"/>
      <c r="F19" s="19"/>
      <c r="G19" s="19"/>
      <c r="H19" s="19"/>
    </row>
    <row r="20" spans="1:8" ht="28.2" customHeight="1" x14ac:dyDescent="0.3">
      <c r="A20" s="6"/>
      <c r="B20" s="6"/>
      <c r="C20" s="14"/>
      <c r="D20" s="15"/>
      <c r="E20" s="15"/>
      <c r="F20" s="15"/>
      <c r="G20" s="15"/>
      <c r="H20" s="16"/>
    </row>
    <row r="21" spans="1:8" ht="28.2" customHeight="1" x14ac:dyDescent="0.3">
      <c r="A21" s="6"/>
      <c r="B21" s="6"/>
      <c r="C21" s="14"/>
      <c r="D21" s="15"/>
      <c r="E21" s="15"/>
      <c r="F21" s="15"/>
      <c r="G21" s="15"/>
      <c r="H21" s="16"/>
    </row>
    <row r="22" spans="1:8" ht="28.2" customHeight="1" x14ac:dyDescent="0.3">
      <c r="A22" s="6"/>
      <c r="B22" s="6"/>
      <c r="C22" s="14"/>
      <c r="D22" s="15"/>
      <c r="E22" s="15"/>
      <c r="F22" s="15"/>
      <c r="G22" s="15"/>
      <c r="H22" s="16"/>
    </row>
    <row r="23" spans="1:8" ht="28.2" customHeight="1" x14ac:dyDescent="0.3">
      <c r="A23" s="6"/>
      <c r="B23" s="6"/>
      <c r="C23" s="14"/>
      <c r="D23" s="15"/>
      <c r="E23" s="15"/>
      <c r="F23" s="15"/>
      <c r="G23" s="15"/>
      <c r="H23" s="16"/>
    </row>
    <row r="24" spans="1:8" ht="28.2" customHeight="1" x14ac:dyDescent="0.3">
      <c r="A24" s="6"/>
      <c r="B24" s="6"/>
      <c r="C24" s="14"/>
      <c r="D24" s="15"/>
      <c r="E24" s="15"/>
      <c r="F24" s="15"/>
      <c r="G24" s="15"/>
      <c r="H24" s="16"/>
    </row>
    <row r="29" spans="1:8" ht="16.2" thickBot="1" x14ac:dyDescent="0.35">
      <c r="D29" s="3" t="s">
        <v>0</v>
      </c>
    </row>
    <row r="30" spans="1:8" x14ac:dyDescent="0.3">
      <c r="D30" s="7"/>
      <c r="E30" s="8"/>
      <c r="F30" s="8"/>
      <c r="G30" s="8"/>
      <c r="H30" s="9"/>
    </row>
    <row r="31" spans="1:8" ht="16.2" thickBot="1" x14ac:dyDescent="0.35">
      <c r="D31" s="10"/>
      <c r="E31" s="11"/>
      <c r="F31" s="11"/>
      <c r="G31" s="11"/>
      <c r="H31" s="12"/>
    </row>
  </sheetData>
  <mergeCells count="19">
    <mergeCell ref="D5:H5"/>
    <mergeCell ref="A5:A6"/>
    <mergeCell ref="B5:C6"/>
    <mergeCell ref="B7:C7"/>
    <mergeCell ref="B8:C8"/>
    <mergeCell ref="B9:C9"/>
    <mergeCell ref="B10:C10"/>
    <mergeCell ref="B11:C11"/>
    <mergeCell ref="B12:C12"/>
    <mergeCell ref="B13:C13"/>
    <mergeCell ref="C21:H21"/>
    <mergeCell ref="C22:H22"/>
    <mergeCell ref="C23:H23"/>
    <mergeCell ref="C24:H24"/>
    <mergeCell ref="B14:C14"/>
    <mergeCell ref="B15:C15"/>
    <mergeCell ref="B16:C16"/>
    <mergeCell ref="C19:H19"/>
    <mergeCell ref="C20:H20"/>
  </mergeCells>
  <pageMargins left="1" right="1" top="1" bottom="1" header="0.5" footer="0.5"/>
  <pageSetup paperSize="9" orientation="portrait" r:id="rId1"/>
  <headerFooter>
    <oddHeader>&amp;C&amp;18Pengujian SUS Sistem Pendataan Pengadaan Bantuan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6351-7779-48C3-96E0-785AD285EA85}">
  <dimension ref="A1:S45"/>
  <sheetViews>
    <sheetView tabSelected="1" view="pageLayout" zoomScaleNormal="100" workbookViewId="0">
      <selection activeCell="U8" sqref="U8"/>
    </sheetView>
  </sheetViews>
  <sheetFormatPr defaultColWidth="8.88671875" defaultRowHeight="14.4" x14ac:dyDescent="0.3"/>
  <cols>
    <col min="1" max="1" width="4" bestFit="1" customWidth="1"/>
    <col min="2" max="2" width="16.21875" customWidth="1"/>
    <col min="3" max="12" width="5" customWidth="1"/>
  </cols>
  <sheetData>
    <row r="1" spans="1:19" x14ac:dyDescent="0.3">
      <c r="A1" s="27" t="s">
        <v>1</v>
      </c>
      <c r="B1" s="27" t="s">
        <v>26</v>
      </c>
      <c r="C1" s="27" t="s">
        <v>2</v>
      </c>
      <c r="D1" s="27"/>
      <c r="E1" s="27"/>
      <c r="F1" s="27"/>
      <c r="G1" s="27"/>
      <c r="H1" s="27"/>
      <c r="I1" s="27"/>
      <c r="J1" s="27"/>
      <c r="K1" s="27"/>
      <c r="L1" s="27"/>
      <c r="M1" s="28"/>
      <c r="N1" s="30" t="s">
        <v>50</v>
      </c>
      <c r="O1" s="30" t="s">
        <v>40</v>
      </c>
      <c r="P1" s="30"/>
      <c r="Q1" s="30"/>
      <c r="R1" s="30"/>
      <c r="S1" s="30"/>
    </row>
    <row r="2" spans="1:19" x14ac:dyDescent="0.3">
      <c r="A2" s="27"/>
      <c r="B2" s="27"/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8"/>
      <c r="N2" s="30"/>
      <c r="O2" s="13">
        <v>0</v>
      </c>
      <c r="P2" s="13">
        <v>1</v>
      </c>
      <c r="Q2" s="13">
        <v>2</v>
      </c>
      <c r="R2" s="13">
        <v>3</v>
      </c>
      <c r="S2" s="13">
        <v>4</v>
      </c>
    </row>
    <row r="3" spans="1:19" x14ac:dyDescent="0.3">
      <c r="A3" s="1">
        <v>1</v>
      </c>
      <c r="B3" s="1" t="s">
        <v>27</v>
      </c>
      <c r="C3" s="1">
        <v>4</v>
      </c>
      <c r="D3" s="1">
        <v>3</v>
      </c>
      <c r="E3" s="1">
        <v>5</v>
      </c>
      <c r="F3" s="1">
        <v>2</v>
      </c>
      <c r="G3" s="1">
        <v>4</v>
      </c>
      <c r="H3" s="1">
        <v>2</v>
      </c>
      <c r="I3" s="1">
        <v>4</v>
      </c>
      <c r="J3" s="1">
        <v>3</v>
      </c>
      <c r="K3" s="1">
        <v>5</v>
      </c>
      <c r="L3" s="1">
        <v>2</v>
      </c>
      <c r="N3" s="1" t="s">
        <v>27</v>
      </c>
      <c r="O3" s="1">
        <f>COUNTIF($C$15:$L$15,O$2)</f>
        <v>0</v>
      </c>
      <c r="P3" s="1">
        <f t="shared" ref="P3:S3" si="0">COUNTIF($C$15:$L$15,P$2)</f>
        <v>0</v>
      </c>
      <c r="Q3" s="1">
        <f t="shared" si="0"/>
        <v>2</v>
      </c>
      <c r="R3" s="1">
        <f>COUNTIF($C$15:$L$15,R$2)</f>
        <v>6</v>
      </c>
      <c r="S3" s="1">
        <f t="shared" si="0"/>
        <v>2</v>
      </c>
    </row>
    <row r="4" spans="1:19" x14ac:dyDescent="0.3">
      <c r="A4" s="1">
        <v>2</v>
      </c>
      <c r="B4" s="1" t="s">
        <v>28</v>
      </c>
      <c r="C4" s="1">
        <v>4</v>
      </c>
      <c r="D4" s="1">
        <v>2</v>
      </c>
      <c r="E4" s="1">
        <v>4</v>
      </c>
      <c r="F4" s="1">
        <v>3</v>
      </c>
      <c r="G4" s="1">
        <v>5</v>
      </c>
      <c r="H4" s="1">
        <v>3</v>
      </c>
      <c r="I4" s="1">
        <v>4</v>
      </c>
      <c r="J4" s="1">
        <v>2</v>
      </c>
      <c r="K4" s="1">
        <v>5</v>
      </c>
      <c r="L4" s="1">
        <v>3</v>
      </c>
      <c r="N4" s="1" t="s">
        <v>28</v>
      </c>
      <c r="O4" s="1">
        <f>COUNTIF($C$16:$L$18,O$2)</f>
        <v>0</v>
      </c>
      <c r="P4" s="1">
        <f t="shared" ref="P4:S4" si="1">COUNTIF($C$16:$L$18,P$2)</f>
        <v>1</v>
      </c>
      <c r="Q4" s="1">
        <f t="shared" si="1"/>
        <v>8</v>
      </c>
      <c r="R4" s="1">
        <f t="shared" si="1"/>
        <v>14</v>
      </c>
      <c r="S4" s="1">
        <f t="shared" si="1"/>
        <v>7</v>
      </c>
    </row>
    <row r="5" spans="1:19" x14ac:dyDescent="0.3">
      <c r="A5" s="1">
        <v>3</v>
      </c>
      <c r="B5" s="1" t="s">
        <v>28</v>
      </c>
      <c r="C5" s="1">
        <v>3</v>
      </c>
      <c r="D5" s="1">
        <v>4</v>
      </c>
      <c r="E5" s="1">
        <v>4</v>
      </c>
      <c r="F5" s="1">
        <v>2</v>
      </c>
      <c r="G5" s="1">
        <v>4</v>
      </c>
      <c r="H5" s="1">
        <v>3</v>
      </c>
      <c r="I5" s="1">
        <v>5</v>
      </c>
      <c r="J5" s="1">
        <v>2</v>
      </c>
      <c r="K5" s="1">
        <v>4</v>
      </c>
      <c r="L5" s="1">
        <v>2</v>
      </c>
      <c r="N5" s="1" t="s">
        <v>29</v>
      </c>
      <c r="O5" s="1">
        <f>COUNTIF($C$19:$L$22,O$2)</f>
        <v>0</v>
      </c>
      <c r="P5" s="1">
        <f t="shared" ref="P5:S5" si="2">COUNTIF($C$19:$L$22,P$2)</f>
        <v>1</v>
      </c>
      <c r="Q5" s="1">
        <f t="shared" si="2"/>
        <v>11</v>
      </c>
      <c r="R5" s="1">
        <f t="shared" si="2"/>
        <v>20</v>
      </c>
      <c r="S5" s="1">
        <f t="shared" si="2"/>
        <v>8</v>
      </c>
    </row>
    <row r="6" spans="1:19" x14ac:dyDescent="0.3">
      <c r="A6" s="1">
        <v>4</v>
      </c>
      <c r="B6" s="1" t="s">
        <v>28</v>
      </c>
      <c r="C6" s="1">
        <v>5</v>
      </c>
      <c r="D6" s="1">
        <v>3</v>
      </c>
      <c r="E6" s="1">
        <v>5</v>
      </c>
      <c r="F6" s="1">
        <v>2</v>
      </c>
      <c r="G6" s="1">
        <v>5</v>
      </c>
      <c r="H6" s="1">
        <v>2</v>
      </c>
      <c r="I6" s="1">
        <v>4</v>
      </c>
      <c r="J6" s="1">
        <v>3</v>
      </c>
      <c r="K6" s="1">
        <v>5</v>
      </c>
      <c r="L6" s="1">
        <v>3</v>
      </c>
      <c r="N6" s="13" t="s">
        <v>46</v>
      </c>
      <c r="O6" s="13">
        <f>SUM(O3:O5)</f>
        <v>0</v>
      </c>
      <c r="P6" s="13">
        <f t="shared" ref="P6:S6" si="3">SUM(P3:P5)</f>
        <v>2</v>
      </c>
      <c r="Q6" s="13">
        <f t="shared" si="3"/>
        <v>21</v>
      </c>
      <c r="R6" s="13">
        <f t="shared" si="3"/>
        <v>40</v>
      </c>
      <c r="S6" s="13">
        <f t="shared" si="3"/>
        <v>17</v>
      </c>
    </row>
    <row r="7" spans="1:19" x14ac:dyDescent="0.3">
      <c r="A7" s="1">
        <v>5</v>
      </c>
      <c r="B7" s="1" t="s">
        <v>29</v>
      </c>
      <c r="C7" s="1">
        <v>4</v>
      </c>
      <c r="D7" s="1">
        <v>2</v>
      </c>
      <c r="E7" s="1">
        <v>4</v>
      </c>
      <c r="F7" s="1">
        <v>3</v>
      </c>
      <c r="G7" s="1">
        <v>4</v>
      </c>
      <c r="H7" s="1">
        <v>3</v>
      </c>
      <c r="I7" s="1">
        <v>5</v>
      </c>
      <c r="J7" s="1">
        <v>2</v>
      </c>
      <c r="K7" s="1">
        <v>5</v>
      </c>
      <c r="L7" s="1">
        <v>2</v>
      </c>
    </row>
    <row r="8" spans="1:19" x14ac:dyDescent="0.3">
      <c r="A8" s="1">
        <v>6</v>
      </c>
      <c r="B8" s="1" t="s">
        <v>29</v>
      </c>
      <c r="C8" s="1">
        <v>3</v>
      </c>
      <c r="D8" s="1">
        <v>4</v>
      </c>
      <c r="E8" s="1">
        <v>4</v>
      </c>
      <c r="F8" s="1">
        <v>2</v>
      </c>
      <c r="G8" s="1">
        <v>5</v>
      </c>
      <c r="H8" s="1">
        <v>3</v>
      </c>
      <c r="I8" s="1">
        <v>4</v>
      </c>
      <c r="J8" s="1">
        <v>2</v>
      </c>
      <c r="K8" s="1">
        <v>4</v>
      </c>
      <c r="L8" s="1">
        <v>3</v>
      </c>
    </row>
    <row r="9" spans="1:19" x14ac:dyDescent="0.3">
      <c r="A9" s="1">
        <v>7</v>
      </c>
      <c r="B9" s="1" t="s">
        <v>29</v>
      </c>
      <c r="C9" s="1">
        <v>4</v>
      </c>
      <c r="D9" s="1">
        <v>3</v>
      </c>
      <c r="E9" s="1">
        <v>5</v>
      </c>
      <c r="F9" s="1">
        <v>3</v>
      </c>
      <c r="G9" s="1">
        <v>4</v>
      </c>
      <c r="H9" s="1">
        <v>2</v>
      </c>
      <c r="I9" s="1">
        <v>5</v>
      </c>
      <c r="J9" s="1">
        <v>3</v>
      </c>
      <c r="K9" s="1">
        <v>5</v>
      </c>
      <c r="L9" s="1">
        <v>2</v>
      </c>
    </row>
    <row r="10" spans="1:19" x14ac:dyDescent="0.3">
      <c r="A10" s="1">
        <v>8</v>
      </c>
      <c r="B10" s="1" t="s">
        <v>29</v>
      </c>
      <c r="C10" s="1">
        <v>4</v>
      </c>
      <c r="D10" s="1">
        <v>3</v>
      </c>
      <c r="E10" s="1">
        <v>5</v>
      </c>
      <c r="F10" s="1">
        <v>2</v>
      </c>
      <c r="G10" s="1">
        <v>5</v>
      </c>
      <c r="H10" s="1">
        <v>2</v>
      </c>
      <c r="I10" s="1">
        <v>4</v>
      </c>
      <c r="J10" s="1">
        <v>3</v>
      </c>
      <c r="K10" s="1">
        <v>4</v>
      </c>
      <c r="L10" s="1">
        <v>3</v>
      </c>
    </row>
    <row r="12" spans="1:19" x14ac:dyDescent="0.3">
      <c r="A12" t="s">
        <v>41</v>
      </c>
      <c r="C12">
        <v>0</v>
      </c>
      <c r="D12">
        <v>1</v>
      </c>
      <c r="E12">
        <v>2</v>
      </c>
      <c r="F12">
        <v>3</v>
      </c>
      <c r="G12">
        <v>4</v>
      </c>
    </row>
    <row r="13" spans="1:19" x14ac:dyDescent="0.3">
      <c r="A13" s="27" t="s">
        <v>1</v>
      </c>
      <c r="B13" s="27" t="s">
        <v>26</v>
      </c>
      <c r="C13" s="27" t="s">
        <v>2</v>
      </c>
      <c r="D13" s="27"/>
      <c r="E13" s="27"/>
      <c r="F13" s="27"/>
      <c r="G13" s="27"/>
      <c r="H13" s="27"/>
      <c r="I13" s="27"/>
      <c r="J13" s="27"/>
      <c r="K13" s="27"/>
      <c r="L13" s="27"/>
      <c r="M13" s="27" t="s">
        <v>40</v>
      </c>
    </row>
    <row r="14" spans="1:19" x14ac:dyDescent="0.3">
      <c r="A14" s="27"/>
      <c r="B14" s="27"/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37</v>
      </c>
      <c r="K14" s="2" t="s">
        <v>38</v>
      </c>
      <c r="L14" s="2" t="s">
        <v>39</v>
      </c>
      <c r="M14" s="27"/>
    </row>
    <row r="15" spans="1:19" x14ac:dyDescent="0.3">
      <c r="A15" s="1">
        <v>1</v>
      </c>
      <c r="B15" s="1" t="s">
        <v>27</v>
      </c>
      <c r="C15" s="1">
        <f t="shared" ref="C15:C22" si="4">C3-1</f>
        <v>3</v>
      </c>
      <c r="D15" s="1">
        <f t="shared" ref="D15:D22" si="5">5-D3</f>
        <v>2</v>
      </c>
      <c r="E15" s="1">
        <f t="shared" ref="E15:E22" si="6">E3-1</f>
        <v>4</v>
      </c>
      <c r="F15" s="1">
        <f t="shared" ref="F15:F22" si="7">5-F3</f>
        <v>3</v>
      </c>
      <c r="G15" s="1">
        <f>G3-1</f>
        <v>3</v>
      </c>
      <c r="H15" s="1">
        <f>5-H3</f>
        <v>3</v>
      </c>
      <c r="I15" s="1">
        <f>I3-1</f>
        <v>3</v>
      </c>
      <c r="J15" s="1">
        <f>5-J3</f>
        <v>2</v>
      </c>
      <c r="K15" s="1">
        <f>K3-1</f>
        <v>4</v>
      </c>
      <c r="L15" s="1">
        <f>5-L3</f>
        <v>3</v>
      </c>
      <c r="M15" s="1">
        <f>SUM(C15:L15)*2.5</f>
        <v>75</v>
      </c>
    </row>
    <row r="16" spans="1:19" x14ac:dyDescent="0.3">
      <c r="A16" s="1">
        <v>2</v>
      </c>
      <c r="B16" s="1" t="s">
        <v>28</v>
      </c>
      <c r="C16" s="1">
        <f t="shared" si="4"/>
        <v>3</v>
      </c>
      <c r="D16" s="1">
        <f t="shared" si="5"/>
        <v>3</v>
      </c>
      <c r="E16" s="1">
        <f t="shared" si="6"/>
        <v>3</v>
      </c>
      <c r="F16" s="1">
        <f t="shared" si="7"/>
        <v>2</v>
      </c>
      <c r="G16" s="1">
        <f t="shared" ref="G16" si="8">G4-1</f>
        <v>4</v>
      </c>
      <c r="H16" s="1">
        <f t="shared" ref="H16" si="9">5-H4</f>
        <v>2</v>
      </c>
      <c r="I16" s="1">
        <f t="shared" ref="I16" si="10">I4-1</f>
        <v>3</v>
      </c>
      <c r="J16" s="1">
        <f t="shared" ref="J16" si="11">5-J4</f>
        <v>3</v>
      </c>
      <c r="K16" s="1">
        <f t="shared" ref="K16" si="12">K4-1</f>
        <v>4</v>
      </c>
      <c r="L16" s="1">
        <f t="shared" ref="L16" si="13">5-L4</f>
        <v>2</v>
      </c>
      <c r="M16" s="1">
        <f t="shared" ref="M16:M22" si="14">SUM(C16:L16)*2.5</f>
        <v>72.5</v>
      </c>
    </row>
    <row r="17" spans="1:13" x14ac:dyDescent="0.3">
      <c r="A17" s="1">
        <v>3</v>
      </c>
      <c r="B17" s="1" t="s">
        <v>28</v>
      </c>
      <c r="C17" s="1">
        <f t="shared" si="4"/>
        <v>2</v>
      </c>
      <c r="D17" s="1">
        <f t="shared" si="5"/>
        <v>1</v>
      </c>
      <c r="E17" s="1">
        <f t="shared" si="6"/>
        <v>3</v>
      </c>
      <c r="F17" s="1">
        <f t="shared" si="7"/>
        <v>3</v>
      </c>
      <c r="G17" s="1">
        <f t="shared" ref="G17" si="15">G5-1</f>
        <v>3</v>
      </c>
      <c r="H17" s="1">
        <f t="shared" ref="H17" si="16">5-H5</f>
        <v>2</v>
      </c>
      <c r="I17" s="1">
        <f t="shared" ref="I17" si="17">I5-1</f>
        <v>4</v>
      </c>
      <c r="J17" s="1">
        <f t="shared" ref="J17" si="18">5-J5</f>
        <v>3</v>
      </c>
      <c r="K17" s="1">
        <f t="shared" ref="K17" si="19">K5-1</f>
        <v>3</v>
      </c>
      <c r="L17" s="1">
        <f t="shared" ref="L17" si="20">5-L5</f>
        <v>3</v>
      </c>
      <c r="M17" s="1">
        <f t="shared" si="14"/>
        <v>67.5</v>
      </c>
    </row>
    <row r="18" spans="1:13" x14ac:dyDescent="0.3">
      <c r="A18" s="1">
        <v>4</v>
      </c>
      <c r="B18" s="1" t="s">
        <v>28</v>
      </c>
      <c r="C18" s="1">
        <f t="shared" si="4"/>
        <v>4</v>
      </c>
      <c r="D18" s="1">
        <f t="shared" si="5"/>
        <v>2</v>
      </c>
      <c r="E18" s="1">
        <f t="shared" si="6"/>
        <v>4</v>
      </c>
      <c r="F18" s="1">
        <f t="shared" si="7"/>
        <v>3</v>
      </c>
      <c r="G18" s="1">
        <f t="shared" ref="G18" si="21">G6-1</f>
        <v>4</v>
      </c>
      <c r="H18" s="1">
        <f t="shared" ref="H18" si="22">5-H6</f>
        <v>3</v>
      </c>
      <c r="I18" s="1">
        <f t="shared" ref="I18" si="23">I6-1</f>
        <v>3</v>
      </c>
      <c r="J18" s="1">
        <f t="shared" ref="J18" si="24">5-J6</f>
        <v>2</v>
      </c>
      <c r="K18" s="1">
        <f t="shared" ref="K18" si="25">K6-1</f>
        <v>4</v>
      </c>
      <c r="L18" s="1">
        <f t="shared" ref="L18" si="26">5-L6</f>
        <v>2</v>
      </c>
      <c r="M18" s="1">
        <f t="shared" si="14"/>
        <v>77.5</v>
      </c>
    </row>
    <row r="19" spans="1:13" x14ac:dyDescent="0.3">
      <c r="A19" s="1">
        <v>5</v>
      </c>
      <c r="B19" s="1" t="s">
        <v>29</v>
      </c>
      <c r="C19" s="1">
        <f t="shared" si="4"/>
        <v>3</v>
      </c>
      <c r="D19" s="1">
        <f t="shared" si="5"/>
        <v>3</v>
      </c>
      <c r="E19" s="1">
        <f t="shared" si="6"/>
        <v>3</v>
      </c>
      <c r="F19" s="1">
        <f t="shared" si="7"/>
        <v>2</v>
      </c>
      <c r="G19" s="1">
        <f t="shared" ref="G19" si="27">G7-1</f>
        <v>3</v>
      </c>
      <c r="H19" s="1">
        <f t="shared" ref="H19" si="28">5-H7</f>
        <v>2</v>
      </c>
      <c r="I19" s="1">
        <f t="shared" ref="I19" si="29">I7-1</f>
        <v>4</v>
      </c>
      <c r="J19" s="1">
        <f t="shared" ref="J19" si="30">5-J7</f>
        <v>3</v>
      </c>
      <c r="K19" s="1">
        <f t="shared" ref="K19" si="31">K7-1</f>
        <v>4</v>
      </c>
      <c r="L19" s="1">
        <f t="shared" ref="L19" si="32">5-L7</f>
        <v>3</v>
      </c>
      <c r="M19" s="1">
        <f t="shared" si="14"/>
        <v>75</v>
      </c>
    </row>
    <row r="20" spans="1:13" x14ac:dyDescent="0.3">
      <c r="A20" s="1">
        <v>6</v>
      </c>
      <c r="B20" s="1" t="s">
        <v>29</v>
      </c>
      <c r="C20" s="1">
        <f t="shared" si="4"/>
        <v>2</v>
      </c>
      <c r="D20" s="1">
        <f t="shared" si="5"/>
        <v>1</v>
      </c>
      <c r="E20" s="1">
        <f t="shared" si="6"/>
        <v>3</v>
      </c>
      <c r="F20" s="1">
        <f t="shared" si="7"/>
        <v>3</v>
      </c>
      <c r="G20" s="1">
        <f t="shared" ref="G20" si="33">G8-1</f>
        <v>4</v>
      </c>
      <c r="H20" s="1">
        <f t="shared" ref="H20" si="34">5-H8</f>
        <v>2</v>
      </c>
      <c r="I20" s="1">
        <f t="shared" ref="I20" si="35">I8-1</f>
        <v>3</v>
      </c>
      <c r="J20" s="1">
        <f t="shared" ref="J20" si="36">5-J8</f>
        <v>3</v>
      </c>
      <c r="K20" s="1">
        <f t="shared" ref="K20" si="37">K8-1</f>
        <v>3</v>
      </c>
      <c r="L20" s="1">
        <f t="shared" ref="L20" si="38">5-L8</f>
        <v>2</v>
      </c>
      <c r="M20" s="1">
        <f t="shared" si="14"/>
        <v>65</v>
      </c>
    </row>
    <row r="21" spans="1:13" x14ac:dyDescent="0.3">
      <c r="A21" s="1">
        <v>7</v>
      </c>
      <c r="B21" s="1" t="s">
        <v>29</v>
      </c>
      <c r="C21" s="1">
        <f t="shared" si="4"/>
        <v>3</v>
      </c>
      <c r="D21" s="1">
        <f t="shared" si="5"/>
        <v>2</v>
      </c>
      <c r="E21" s="1">
        <f t="shared" si="6"/>
        <v>4</v>
      </c>
      <c r="F21" s="1">
        <f t="shared" si="7"/>
        <v>2</v>
      </c>
      <c r="G21" s="1">
        <f t="shared" ref="G21" si="39">G9-1</f>
        <v>3</v>
      </c>
      <c r="H21" s="1">
        <f t="shared" ref="H21" si="40">5-H9</f>
        <v>3</v>
      </c>
      <c r="I21" s="1">
        <f t="shared" ref="I21" si="41">I9-1</f>
        <v>4</v>
      </c>
      <c r="J21" s="1">
        <f t="shared" ref="J21" si="42">5-J9</f>
        <v>2</v>
      </c>
      <c r="K21" s="1">
        <f t="shared" ref="K21" si="43">K9-1</f>
        <v>4</v>
      </c>
      <c r="L21" s="1">
        <f t="shared" ref="L21" si="44">5-L9</f>
        <v>3</v>
      </c>
      <c r="M21" s="1">
        <f t="shared" si="14"/>
        <v>75</v>
      </c>
    </row>
    <row r="22" spans="1:13" x14ac:dyDescent="0.3">
      <c r="A22" s="1">
        <v>8</v>
      </c>
      <c r="B22" s="1" t="s">
        <v>29</v>
      </c>
      <c r="C22" s="1">
        <f t="shared" si="4"/>
        <v>3</v>
      </c>
      <c r="D22" s="1">
        <f t="shared" si="5"/>
        <v>2</v>
      </c>
      <c r="E22" s="1">
        <f t="shared" si="6"/>
        <v>4</v>
      </c>
      <c r="F22" s="1">
        <f t="shared" si="7"/>
        <v>3</v>
      </c>
      <c r="G22" s="1">
        <f t="shared" ref="G22" si="45">G10-1</f>
        <v>4</v>
      </c>
      <c r="H22" s="1">
        <f t="shared" ref="H22" si="46">5-H10</f>
        <v>3</v>
      </c>
      <c r="I22" s="1">
        <f t="shared" ref="I22" si="47">I10-1</f>
        <v>3</v>
      </c>
      <c r="J22" s="1">
        <f t="shared" ref="J22" si="48">5-J10</f>
        <v>2</v>
      </c>
      <c r="K22" s="1">
        <f t="shared" ref="K22" si="49">K10-1</f>
        <v>3</v>
      </c>
      <c r="L22" s="1">
        <f t="shared" ref="L22" si="50">5-L10</f>
        <v>2</v>
      </c>
      <c r="M22" s="1">
        <f t="shared" si="14"/>
        <v>72.5</v>
      </c>
    </row>
    <row r="23" spans="1:13" x14ac:dyDescent="0.3">
      <c r="A23" s="24" t="s">
        <v>42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  <c r="M23" s="13">
        <f>AVERAGE(M15:M22)</f>
        <v>72.5</v>
      </c>
    </row>
    <row r="26" spans="1:13" x14ac:dyDescent="0.3">
      <c r="A26" s="27" t="s">
        <v>1</v>
      </c>
      <c r="B26" s="29" t="s">
        <v>47</v>
      </c>
      <c r="C26" s="27" t="s">
        <v>2</v>
      </c>
      <c r="D26" s="27"/>
      <c r="E26" s="27"/>
      <c r="F26" s="27"/>
      <c r="G26" s="27"/>
      <c r="H26" s="27"/>
      <c r="I26" s="27"/>
      <c r="J26" s="27"/>
      <c r="K26" s="27"/>
      <c r="L26" s="27"/>
      <c r="M26" s="29" t="s">
        <v>46</v>
      </c>
    </row>
    <row r="27" spans="1:13" x14ac:dyDescent="0.3">
      <c r="A27" s="27"/>
      <c r="B27" s="27"/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35</v>
      </c>
      <c r="I27" s="2" t="s">
        <v>36</v>
      </c>
      <c r="J27" s="2" t="s">
        <v>37</v>
      </c>
      <c r="K27" s="2" t="s">
        <v>38</v>
      </c>
      <c r="L27" s="2" t="s">
        <v>39</v>
      </c>
      <c r="M27" s="27"/>
    </row>
    <row r="28" spans="1:13" x14ac:dyDescent="0.3">
      <c r="A28" s="1">
        <v>1</v>
      </c>
      <c r="B28" s="1" t="s">
        <v>43</v>
      </c>
      <c r="C28" s="1">
        <f>COUNTIF(C15:C22,0)+COUNTIF(C15:C22,1)</f>
        <v>0</v>
      </c>
      <c r="D28" s="1">
        <f t="shared" ref="D28:L28" si="51">COUNTIF(D15:D22,0)+COUNTIF(D15:D22,1)</f>
        <v>2</v>
      </c>
      <c r="E28" s="1">
        <f t="shared" si="51"/>
        <v>0</v>
      </c>
      <c r="F28" s="1">
        <f t="shared" si="51"/>
        <v>0</v>
      </c>
      <c r="G28" s="1">
        <f t="shared" si="51"/>
        <v>0</v>
      </c>
      <c r="H28" s="1">
        <f t="shared" si="51"/>
        <v>0</v>
      </c>
      <c r="I28" s="1">
        <f t="shared" si="51"/>
        <v>0</v>
      </c>
      <c r="J28" s="1">
        <f t="shared" si="51"/>
        <v>0</v>
      </c>
      <c r="K28" s="1">
        <f t="shared" si="51"/>
        <v>0</v>
      </c>
      <c r="L28" s="1">
        <f t="shared" si="51"/>
        <v>0</v>
      </c>
      <c r="M28" s="1">
        <f>SUM(C28:L28)</f>
        <v>2</v>
      </c>
    </row>
    <row r="29" spans="1:13" x14ac:dyDescent="0.3">
      <c r="A29" s="1">
        <v>2</v>
      </c>
      <c r="B29" s="1" t="s">
        <v>45</v>
      </c>
      <c r="C29" s="1">
        <f>COUNTIF(C15:C22,2)</f>
        <v>2</v>
      </c>
      <c r="D29" s="1">
        <f t="shared" ref="D29:L29" si="52">COUNTIF(D15:D22,2)</f>
        <v>4</v>
      </c>
      <c r="E29" s="1">
        <f t="shared" si="52"/>
        <v>0</v>
      </c>
      <c r="F29" s="1">
        <f t="shared" si="52"/>
        <v>3</v>
      </c>
      <c r="G29" s="1">
        <f t="shared" si="52"/>
        <v>0</v>
      </c>
      <c r="H29" s="1">
        <f t="shared" si="52"/>
        <v>4</v>
      </c>
      <c r="I29" s="1">
        <f t="shared" si="52"/>
        <v>0</v>
      </c>
      <c r="J29" s="1">
        <f t="shared" si="52"/>
        <v>4</v>
      </c>
      <c r="K29" s="1">
        <f t="shared" si="52"/>
        <v>0</v>
      </c>
      <c r="L29" s="1">
        <f t="shared" si="52"/>
        <v>4</v>
      </c>
      <c r="M29" s="1">
        <f t="shared" ref="M29:M30" si="53">SUM(C29:L29)</f>
        <v>21</v>
      </c>
    </row>
    <row r="30" spans="1:13" x14ac:dyDescent="0.3">
      <c r="A30" s="1">
        <v>3</v>
      </c>
      <c r="B30" s="1" t="s">
        <v>44</v>
      </c>
      <c r="C30" s="1">
        <f>COUNTIF(C15:C22,3)+COUNTIF(C15:C22,4)</f>
        <v>6</v>
      </c>
      <c r="D30" s="1">
        <f t="shared" ref="D30:L30" si="54">COUNTIF(D15:D22,3)+COUNTIF(D15:D22,4)</f>
        <v>2</v>
      </c>
      <c r="E30" s="1">
        <f t="shared" si="54"/>
        <v>8</v>
      </c>
      <c r="F30" s="1">
        <f t="shared" si="54"/>
        <v>5</v>
      </c>
      <c r="G30" s="1">
        <f t="shared" si="54"/>
        <v>8</v>
      </c>
      <c r="H30" s="1">
        <f t="shared" si="54"/>
        <v>4</v>
      </c>
      <c r="I30" s="1">
        <f t="shared" si="54"/>
        <v>8</v>
      </c>
      <c r="J30" s="1">
        <f t="shared" si="54"/>
        <v>4</v>
      </c>
      <c r="K30" s="1">
        <f t="shared" si="54"/>
        <v>8</v>
      </c>
      <c r="L30" s="1">
        <f t="shared" si="54"/>
        <v>4</v>
      </c>
      <c r="M30" s="1">
        <f t="shared" si="53"/>
        <v>57</v>
      </c>
    </row>
    <row r="31" spans="1:13" x14ac:dyDescent="0.3">
      <c r="A31" s="30" t="s">
        <v>48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3">
        <f t="shared" ref="M31" si="55">SUM(M28:M30)</f>
        <v>80</v>
      </c>
    </row>
    <row r="32" spans="1:13" x14ac:dyDescent="0.3">
      <c r="A32" s="31" t="s">
        <v>49</v>
      </c>
      <c r="B32" s="32"/>
      <c r="C32" s="27" t="s">
        <v>2</v>
      </c>
      <c r="D32" s="27"/>
      <c r="E32" s="27"/>
      <c r="F32" s="27"/>
      <c r="G32" s="27"/>
      <c r="H32" s="27"/>
      <c r="I32" s="27"/>
      <c r="J32" s="27"/>
      <c r="K32" s="27"/>
      <c r="L32" s="27"/>
      <c r="M32" s="29" t="s">
        <v>46</v>
      </c>
    </row>
    <row r="33" spans="1:17" x14ac:dyDescent="0.3">
      <c r="A33" s="33"/>
      <c r="B33" s="34"/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36</v>
      </c>
      <c r="J33" s="2" t="s">
        <v>37</v>
      </c>
      <c r="K33" s="2" t="s">
        <v>38</v>
      </c>
      <c r="L33" s="2" t="s">
        <v>39</v>
      </c>
      <c r="M33" s="27"/>
    </row>
    <row r="34" spans="1:17" x14ac:dyDescent="0.3">
      <c r="A34" s="35">
        <v>0</v>
      </c>
      <c r="B34" s="36"/>
      <c r="C34" s="1">
        <f>COUNTIF(C$15:C$22,$A34)</f>
        <v>0</v>
      </c>
      <c r="D34" s="1">
        <f t="shared" ref="D34:L34" si="56">COUNTIF(D$15:D$22,$A34)</f>
        <v>0</v>
      </c>
      <c r="E34" s="1">
        <f t="shared" si="56"/>
        <v>0</v>
      </c>
      <c r="F34" s="1">
        <f t="shared" si="56"/>
        <v>0</v>
      </c>
      <c r="G34" s="1">
        <f t="shared" si="56"/>
        <v>0</v>
      </c>
      <c r="H34" s="1">
        <f t="shared" si="56"/>
        <v>0</v>
      </c>
      <c r="I34" s="1">
        <f t="shared" si="56"/>
        <v>0</v>
      </c>
      <c r="J34" s="1">
        <f t="shared" si="56"/>
        <v>0</v>
      </c>
      <c r="K34" s="1">
        <f t="shared" si="56"/>
        <v>0</v>
      </c>
      <c r="L34" s="1">
        <f t="shared" si="56"/>
        <v>0</v>
      </c>
      <c r="M34" s="1">
        <f>SUM(C34:L34)</f>
        <v>0</v>
      </c>
    </row>
    <row r="35" spans="1:17" x14ac:dyDescent="0.3">
      <c r="A35" s="35">
        <v>1</v>
      </c>
      <c r="B35" s="36"/>
      <c r="C35" s="1">
        <f t="shared" ref="C35:L38" si="57">COUNTIF(C$15:C$22,$A35)</f>
        <v>0</v>
      </c>
      <c r="D35" s="1">
        <f t="shared" si="57"/>
        <v>2</v>
      </c>
      <c r="E35" s="1">
        <f t="shared" si="57"/>
        <v>0</v>
      </c>
      <c r="F35" s="1">
        <f t="shared" si="57"/>
        <v>0</v>
      </c>
      <c r="G35" s="1">
        <f t="shared" si="57"/>
        <v>0</v>
      </c>
      <c r="H35" s="1">
        <f t="shared" si="57"/>
        <v>0</v>
      </c>
      <c r="I35" s="1">
        <f t="shared" si="57"/>
        <v>0</v>
      </c>
      <c r="J35" s="1">
        <f t="shared" si="57"/>
        <v>0</v>
      </c>
      <c r="K35" s="1">
        <f t="shared" si="57"/>
        <v>0</v>
      </c>
      <c r="L35" s="1">
        <f t="shared" si="57"/>
        <v>0</v>
      </c>
      <c r="M35" s="1">
        <f t="shared" ref="M35:M38" si="58">SUM(C35:L35)</f>
        <v>2</v>
      </c>
    </row>
    <row r="36" spans="1:17" x14ac:dyDescent="0.3">
      <c r="A36" s="35">
        <v>2</v>
      </c>
      <c r="B36" s="36"/>
      <c r="C36" s="1">
        <f t="shared" si="57"/>
        <v>2</v>
      </c>
      <c r="D36" s="1">
        <f t="shared" si="57"/>
        <v>4</v>
      </c>
      <c r="E36" s="1">
        <f t="shared" si="57"/>
        <v>0</v>
      </c>
      <c r="F36" s="1">
        <f t="shared" si="57"/>
        <v>3</v>
      </c>
      <c r="G36" s="1">
        <f t="shared" si="57"/>
        <v>0</v>
      </c>
      <c r="H36" s="1">
        <f t="shared" si="57"/>
        <v>4</v>
      </c>
      <c r="I36" s="1">
        <f t="shared" si="57"/>
        <v>0</v>
      </c>
      <c r="J36" s="1">
        <f t="shared" si="57"/>
        <v>4</v>
      </c>
      <c r="K36" s="1">
        <f t="shared" si="57"/>
        <v>0</v>
      </c>
      <c r="L36" s="1">
        <f t="shared" si="57"/>
        <v>4</v>
      </c>
      <c r="M36" s="1">
        <f t="shared" si="58"/>
        <v>21</v>
      </c>
    </row>
    <row r="37" spans="1:17" x14ac:dyDescent="0.3">
      <c r="A37" s="35">
        <v>3</v>
      </c>
      <c r="B37" s="36"/>
      <c r="C37" s="1">
        <f t="shared" si="57"/>
        <v>5</v>
      </c>
      <c r="D37" s="1">
        <f t="shared" si="57"/>
        <v>2</v>
      </c>
      <c r="E37" s="1">
        <f t="shared" si="57"/>
        <v>4</v>
      </c>
      <c r="F37" s="1">
        <f t="shared" si="57"/>
        <v>5</v>
      </c>
      <c r="G37" s="1">
        <f t="shared" si="57"/>
        <v>4</v>
      </c>
      <c r="H37" s="1">
        <f t="shared" si="57"/>
        <v>4</v>
      </c>
      <c r="I37" s="1">
        <f t="shared" si="57"/>
        <v>5</v>
      </c>
      <c r="J37" s="1">
        <f t="shared" si="57"/>
        <v>4</v>
      </c>
      <c r="K37" s="1">
        <f t="shared" si="57"/>
        <v>3</v>
      </c>
      <c r="L37" s="1">
        <f t="shared" si="57"/>
        <v>4</v>
      </c>
      <c r="M37" s="1">
        <f t="shared" si="58"/>
        <v>40</v>
      </c>
    </row>
    <row r="38" spans="1:17" x14ac:dyDescent="0.3">
      <c r="A38" s="35">
        <v>4</v>
      </c>
      <c r="B38" s="36"/>
      <c r="C38" s="1">
        <f t="shared" si="57"/>
        <v>1</v>
      </c>
      <c r="D38" s="1">
        <f t="shared" si="57"/>
        <v>0</v>
      </c>
      <c r="E38" s="1">
        <f t="shared" si="57"/>
        <v>4</v>
      </c>
      <c r="F38" s="1">
        <f t="shared" si="57"/>
        <v>0</v>
      </c>
      <c r="G38" s="1">
        <f t="shared" si="57"/>
        <v>4</v>
      </c>
      <c r="H38" s="1">
        <f t="shared" si="57"/>
        <v>0</v>
      </c>
      <c r="I38" s="1">
        <f t="shared" si="57"/>
        <v>3</v>
      </c>
      <c r="J38" s="1">
        <f t="shared" si="57"/>
        <v>0</v>
      </c>
      <c r="K38" s="1">
        <f t="shared" si="57"/>
        <v>5</v>
      </c>
      <c r="L38" s="1">
        <f t="shared" si="57"/>
        <v>0</v>
      </c>
      <c r="M38" s="1">
        <f t="shared" si="58"/>
        <v>17</v>
      </c>
    </row>
    <row r="39" spans="1:17" x14ac:dyDescent="0.3">
      <c r="A39" s="30" t="s">
        <v>48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13">
        <f t="shared" ref="M39" si="59">SUM(M34:M38)</f>
        <v>80</v>
      </c>
    </row>
    <row r="42" spans="1:17" x14ac:dyDescent="0.3">
      <c r="N42" t="s">
        <v>43</v>
      </c>
      <c r="O42">
        <f>COUNTIF($C$15:$L$22, 0)</f>
        <v>0</v>
      </c>
      <c r="P42">
        <f>COUNTIF($C$15:$L$22, 1)</f>
        <v>2</v>
      </c>
      <c r="Q42">
        <f>SUM(O42:P42)</f>
        <v>2</v>
      </c>
    </row>
    <row r="43" spans="1:17" x14ac:dyDescent="0.3">
      <c r="N43" t="s">
        <v>45</v>
      </c>
      <c r="O43">
        <f>COUNTIF($C$15:$L$22, 2)</f>
        <v>21</v>
      </c>
      <c r="Q43">
        <f t="shared" ref="Q43:Q44" si="60">SUM(O43:P43)</f>
        <v>21</v>
      </c>
    </row>
    <row r="44" spans="1:17" x14ac:dyDescent="0.3">
      <c r="N44" t="s">
        <v>44</v>
      </c>
      <c r="O44">
        <f>COUNTIF($C$15:$L$22, 3)</f>
        <v>40</v>
      </c>
      <c r="P44">
        <f>COUNTIF($C$15:$L$22, 4)</f>
        <v>17</v>
      </c>
      <c r="Q44">
        <f t="shared" si="60"/>
        <v>57</v>
      </c>
    </row>
    <row r="45" spans="1:17" x14ac:dyDescent="0.3">
      <c r="N45" t="s">
        <v>46</v>
      </c>
      <c r="O45">
        <f>COUNTA(C15:L22)</f>
        <v>80</v>
      </c>
      <c r="Q45">
        <f>SUM(Q42:Q44)</f>
        <v>80</v>
      </c>
    </row>
  </sheetData>
  <mergeCells count="25">
    <mergeCell ref="O1:S1"/>
    <mergeCell ref="C32:L32"/>
    <mergeCell ref="M32:M33"/>
    <mergeCell ref="A39:L39"/>
    <mergeCell ref="A32:B33"/>
    <mergeCell ref="A34:B34"/>
    <mergeCell ref="A35:B35"/>
    <mergeCell ref="A36:B36"/>
    <mergeCell ref="A37:B37"/>
    <mergeCell ref="A38:B38"/>
    <mergeCell ref="M26:M27"/>
    <mergeCell ref="A31:L31"/>
    <mergeCell ref="N1:N2"/>
    <mergeCell ref="A26:A27"/>
    <mergeCell ref="B26:B27"/>
    <mergeCell ref="C26:L26"/>
    <mergeCell ref="A23:L23"/>
    <mergeCell ref="A1:A2"/>
    <mergeCell ref="B1:B2"/>
    <mergeCell ref="C1:L1"/>
    <mergeCell ref="M1:M2"/>
    <mergeCell ref="A13:A14"/>
    <mergeCell ref="B13:B14"/>
    <mergeCell ref="C13:L13"/>
    <mergeCell ref="M13:M14"/>
  </mergeCells>
  <phoneticPr fontId="3" type="noConversion"/>
  <conditionalFormatting sqref="C15:L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howInputMessage="1" showErrorMessage="1" sqref="B3:B10 B15:B22" xr:uid="{9453F5CC-C1C4-48C0-896E-5A0F6F28F4A2}">
      <formula1>"Kadis, Kabid, Koor"</formula1>
    </dataValidation>
  </dataValidations>
  <pageMargins left="1" right="1" top="1" bottom="1" header="0.5" footer="0.5"/>
  <pageSetup paperSize="9" orientation="portrait" r:id="rId1"/>
  <headerFooter>
    <oddHeader>&amp;CRekap Pengujian SUS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Ackyras</dc:creator>
  <cp:lastModifiedBy>Ackyras</cp:lastModifiedBy>
  <cp:lastPrinted>2024-06-17T10:49:46Z</cp:lastPrinted>
  <dcterms:created xsi:type="dcterms:W3CDTF">2024-06-17T10:26:47Z</dcterms:created>
  <dcterms:modified xsi:type="dcterms:W3CDTF">2024-06-18T09:30:18Z</dcterms:modified>
</cp:coreProperties>
</file>